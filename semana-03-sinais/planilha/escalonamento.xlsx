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quisicao" sheetId="1" state="visible" r:id="rId3"/>
    <sheet name="fronteiras" sheetId="2" state="visible" r:id="rId4"/>
    <sheet name="calculo_inverso" sheetId="3" state="visible" r:id="rId5"/>
    <sheet name="diagnostico_4-20mA" sheetId="4" state="visible" r:id="rId6"/>
    <sheet name="media_move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<sst xmlns="http://schemas.openxmlformats.org/spreadsheetml/2006/main" count="102" uniqueCount="56">
  <si>
    <t xml:space="preserve">amostra</t>
  </si>
  <si>
    <t xml:space="preserve">bruto_ADC</t>
  </si>
  <si>
    <t xml:space="preserve">percentual_%</t>
  </si>
  <si>
    <t xml:space="preserve">temperatura_C</t>
  </si>
  <si>
    <t xml:space="preserve">corrente_mA</t>
  </si>
  <si>
    <t xml:space="preserve">tensao_V</t>
  </si>
  <si>
    <t xml:space="preserve">estado</t>
  </si>
  <si>
    <t xml:space="preserve">estado_serial (Monitor Serial)</t>
  </si>
  <si>
    <t xml:space="preserve">confere</t>
  </si>
  <si>
    <t xml:space="preserve">lim_atencao_C</t>
  </si>
  <si>
    <t xml:space="preserve">lim_perigo_C</t>
  </si>
  <si>
    <t xml:space="preserve">NORMAL</t>
  </si>
  <si>
    <t xml:space="preserve">ATENCAO</t>
  </si>
  <si>
    <t xml:space="preserve">PERIGO</t>
  </si>
  <si>
    <t xml:space="preserve">Colunas A, B e H: valores copiados do Monitor Serial do Wokwi (16/10/2026, 500 ms por amostra). Demais colunas: fórmulas.</t>
  </si>
  <si>
    <t xml:space="preserve">Fórmulas da linha 2: C =100*B2/1023 | D =C2 (faixa 0–100 °C) | E =4+16*C2/100 | F =10*C2/100 | G = classificação com prioridade da FALHA.</t>
  </si>
  <si>
    <t xml:space="preserve">Estados: FALHA fora de 0–100 %; PERIGO ≥ 85 %; ATENÇÃO ≥ 70 %; NORMAL &lt; 70 %. Colunas J e K desenham os limites no gráfico.</t>
  </si>
  <si>
    <t xml:space="preserve">caso</t>
  </si>
  <si>
    <t xml:space="preserve">percentual_teste_%</t>
  </si>
  <si>
    <t xml:space="preserve">estado_esperado</t>
  </si>
  <si>
    <t xml:space="preserve">estado_obtido (fórmula)</t>
  </si>
  <si>
    <t xml:space="preserve">situacao</t>
  </si>
  <si>
    <t xml:space="preserve">por que</t>
  </si>
  <si>
    <t xml:space="preserve">F1</t>
  </si>
  <si>
    <t xml:space="preserve">FALHA</t>
  </si>
  <si>
    <t xml:space="preserve">abaixo da faixa válida</t>
  </si>
  <si>
    <t xml:space="preserve">F2</t>
  </si>
  <si>
    <t xml:space="preserve">limite inferior válido</t>
  </si>
  <si>
    <t xml:space="preserve">F3</t>
  </si>
  <si>
    <t xml:space="preserve">ainda abaixo de 70%</t>
  </si>
  <si>
    <t xml:space="preserve">F4</t>
  </si>
  <si>
    <t xml:space="preserve">ATENÇÃO</t>
  </si>
  <si>
    <t xml:space="preserve">limite de atenção</t>
  </si>
  <si>
    <t xml:space="preserve">F5</t>
  </si>
  <si>
    <t xml:space="preserve">ainda abaixo de 85%</t>
  </si>
  <si>
    <t xml:space="preserve">F6</t>
  </si>
  <si>
    <t xml:space="preserve">limite de perigo</t>
  </si>
  <si>
    <t xml:space="preserve">F7</t>
  </si>
  <si>
    <t xml:space="preserve">limite superior válido</t>
  </si>
  <si>
    <t xml:space="preserve">F8</t>
  </si>
  <si>
    <t xml:space="preserve">acima da faixa válida</t>
  </si>
  <si>
    <t xml:space="preserve">Testar abaixo, igual e acima de cada limite revela erros de &gt;=, &gt;, &lt;= e &lt;.</t>
  </si>
  <si>
    <t xml:space="preserve">temperatura_desejada_C</t>
  </si>
  <si>
    <t xml:space="preserve">corrente_4-20mA</t>
  </si>
  <si>
    <t xml:space="preserve">tensao_0-10V</t>
  </si>
  <si>
    <t xml:space="preserve">verificacao_direta_C</t>
  </si>
  <si>
    <t xml:space="preserve">Faixa 0–100 °C. A verificação direta (corrente → temperatura) deve recuperar a temperatura digitada na coluna A.</t>
  </si>
  <si>
    <t xml:space="preserve">corrente_teste_mA</t>
  </si>
  <si>
    <t xml:space="preserve">percentual_matematico_%</t>
  </si>
  <si>
    <t xml:space="preserve">classificacao</t>
  </si>
  <si>
    <t xml:space="preserve">esperado</t>
  </si>
  <si>
    <t xml:space="preserve">Diagnóstico elétrico ANTES do estado de processo: 3,2 mA não é 'pressão negativa', é falha (circuito aberto/sinal fora da faixa).</t>
  </si>
  <si>
    <t xml:space="preserve">bruto</t>
  </si>
  <si>
    <t xml:space="preserve">filtrado_serial</t>
  </si>
  <si>
    <t xml:space="preserve">filtrado_planilha</t>
  </si>
  <si>
    <t xml:space="preserve">Pico isolado de 1000 na amostra 6: afeta exatamente 5 saídas filtradas (6 a 10) e sai da janela na amostra 11.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</si>
</sst>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A1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Tendência da temperatura simulada (Wokwi, potenciômetro em A0)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aquisicao!D1</c:f>
              <c:strCache>
                <c:ptCount val="1"/>
                <c:pt idx="0">
                  <c:v>temperatura_C</c:v>
                </c:pt>
              </c:strCache>
            </c:strRef>
          </c:tx>
          <c:spPr>
            <a:solidFill>
              <a:srgbClr val="1f4e79"/>
            </a:solidFill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aquisicao!$A$2:$A$32</c:f>
              <c:strCache>
                <c:ptCount val="31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40</c:v>
                </c:pt>
                <c:pt idx="30">
                  <c:v>41</c:v>
                </c:pt>
              </c:strCache>
            </c:strRef>
          </c:cat>
          <c:val>
            <c:numRef>
              <c:f>aquisicao!$D$2:$D$32</c:f>
              <c:numCache>
                <c:formatCode>0.000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9.97067448680352</c:v>
                </c:pt>
                <c:pt idx="3">
                  <c:v>9.97067448680352</c:v>
                </c:pt>
                <c:pt idx="4">
                  <c:v>20.039100684262</c:v>
                </c:pt>
                <c:pt idx="5">
                  <c:v>20.039100684262</c:v>
                </c:pt>
                <c:pt idx="6">
                  <c:v>30.0097751710655</c:v>
                </c:pt>
                <c:pt idx="7">
                  <c:v>30.0097751710655</c:v>
                </c:pt>
                <c:pt idx="8">
                  <c:v>40.078201368524</c:v>
                </c:pt>
                <c:pt idx="9">
                  <c:v>50.0488758553275</c:v>
                </c:pt>
                <c:pt idx="10">
                  <c:v>50.0488758553275</c:v>
                </c:pt>
                <c:pt idx="11">
                  <c:v>50.0488758553275</c:v>
                </c:pt>
                <c:pt idx="12">
                  <c:v>60.019550342131</c:v>
                </c:pt>
                <c:pt idx="13">
                  <c:v>69.9902248289345</c:v>
                </c:pt>
                <c:pt idx="14">
                  <c:v>69.9902248289345</c:v>
                </c:pt>
                <c:pt idx="15">
                  <c:v>75.0733137829912</c:v>
                </c:pt>
                <c:pt idx="16">
                  <c:v>75.0733137829912</c:v>
                </c:pt>
                <c:pt idx="17">
                  <c:v>79.960899315738</c:v>
                </c:pt>
                <c:pt idx="18">
                  <c:v>79.960899315738</c:v>
                </c:pt>
                <c:pt idx="19">
                  <c:v>85.0439882697947</c:v>
                </c:pt>
                <c:pt idx="20">
                  <c:v>85.0439882697947</c:v>
                </c:pt>
                <c:pt idx="21">
                  <c:v>90.0293255131965</c:v>
                </c:pt>
                <c:pt idx="22">
                  <c:v>90.0293255131965</c:v>
                </c:pt>
                <c:pt idx="23">
                  <c:v>100</c:v>
                </c:pt>
                <c:pt idx="24">
                  <c:v>100</c:v>
                </c:pt>
                <c:pt idx="25">
                  <c:v>85.0439882697947</c:v>
                </c:pt>
                <c:pt idx="26">
                  <c:v>85.0439882697947</c:v>
                </c:pt>
                <c:pt idx="27">
                  <c:v>69.9902248289345</c:v>
                </c:pt>
                <c:pt idx="28">
                  <c:v>69.9902248289345</c:v>
                </c:pt>
                <c:pt idx="29">
                  <c:v>50.0488758553275</c:v>
                </c:pt>
                <c:pt idx="30">
                  <c:v>50.0488758553275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aquisicao!J1</c:f>
              <c:strCache>
                <c:ptCount val="1"/>
                <c:pt idx="0">
                  <c:v>lim_atencao_C</c:v>
                </c:pt>
              </c:strCache>
            </c:strRef>
          </c:tx>
          <c:spPr>
            <a:solidFill>
              <a:srgbClr val="e6a100"/>
            </a:solidFill>
            <a:ln w="28440">
              <a:solidFill>
                <a:srgbClr val="e6a1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aquisicao!$A$2:$A$32</c:f>
              <c:strCache>
                <c:ptCount val="31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40</c:v>
                </c:pt>
                <c:pt idx="30">
                  <c:v>41</c:v>
                </c:pt>
              </c:strCache>
            </c:strRef>
          </c:cat>
          <c:val>
            <c:numRef>
              <c:f>aquisicao!$J$2:$J$32</c:f>
              <c:numCache>
                <c:formatCode>General</c:formatCode>
                <c:ptCount val="31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aquisicao!K1</c:f>
              <c:strCache>
                <c:ptCount val="1"/>
                <c:pt idx="0">
                  <c:v>lim_perigo_C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aquisicao!$A$2:$A$32</c:f>
              <c:strCache>
                <c:ptCount val="31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40</c:v>
                </c:pt>
                <c:pt idx="30">
                  <c:v>41</c:v>
                </c:pt>
              </c:strCache>
            </c:strRef>
          </c:cat>
          <c:val>
            <c:numRef>
              <c:f>aquisicao!$K$2:$K$32</c:f>
              <c:numCache>
                <c:formatCode>General</c:formatCode>
                <c:ptCount val="31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583002"/>
        <c:axId val="86631165"/>
      </c:lineChart>
      <c:catAx>
        <c:axId val="545830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Amostra (ordem de aquisição, 500 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31165"/>
        <c:crosses val="autoZero"/>
        <c:auto val="1"/>
        <c:lblAlgn val="ctr"/>
        <c:lblOffset val="100"/>
        <c:noMultiLvlLbl val="0"/>
      </c:catAx>
      <c:valAx>
        <c:axId val="86631165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Temperatura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830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Bruto x média móvel (N = 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media_movel!B1</c:f>
              <c:strCache>
                <c:ptCount val="1"/>
                <c:pt idx="0">
                  <c:v>bruto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media_movel!$A$2:$A$12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media_movel!$B$2:$B$12</c:f>
              <c:numCache>
                <c:formatCode>General</c:formatCode>
                <c:ptCount val="11"/>
                <c:pt idx="0">
                  <c:v>500</c:v>
                </c:pt>
                <c:pt idx="1">
                  <c:v>504</c:v>
                </c:pt>
                <c:pt idx="2">
                  <c:v>498</c:v>
                </c:pt>
                <c:pt idx="3">
                  <c:v>502</c:v>
                </c:pt>
                <c:pt idx="4">
                  <c:v>500</c:v>
                </c:pt>
                <c:pt idx="5">
                  <c:v>1000</c:v>
                </c:pt>
                <c:pt idx="6">
                  <c:v>501</c:v>
                </c:pt>
                <c:pt idx="7">
                  <c:v>499</c:v>
                </c:pt>
                <c:pt idx="8">
                  <c:v>503</c:v>
                </c:pt>
                <c:pt idx="9">
                  <c:v>500</c:v>
                </c:pt>
                <c:pt idx="10">
                  <c:v>502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media_movel!D1</c:f>
              <c:strCache>
                <c:ptCount val="1"/>
                <c:pt idx="0">
                  <c:v>filtrado_planilha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media_movel!$A$2:$A$12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media_movel!$D$2:$D$12</c:f>
              <c:numCache>
                <c:formatCode>0.00</c:formatCode>
                <c:ptCount val="11"/>
                <c:pt idx="0">
                  <c:v>500</c:v>
                </c:pt>
                <c:pt idx="1">
                  <c:v>502</c:v>
                </c:pt>
                <c:pt idx="2">
                  <c:v>500.666666666667</c:v>
                </c:pt>
                <c:pt idx="3">
                  <c:v>501</c:v>
                </c:pt>
                <c:pt idx="4">
                  <c:v>500.8</c:v>
                </c:pt>
                <c:pt idx="5">
                  <c:v>600.8</c:v>
                </c:pt>
                <c:pt idx="6">
                  <c:v>600.2</c:v>
                </c:pt>
                <c:pt idx="7">
                  <c:v>600.4</c:v>
                </c:pt>
                <c:pt idx="8">
                  <c:v>600.6</c:v>
                </c:pt>
                <c:pt idx="9">
                  <c:v>600.6</c:v>
                </c:pt>
                <c:pt idx="10">
                  <c:v>501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674542"/>
        <c:axId val="75628172"/>
      </c:lineChart>
      <c:catAx>
        <c:axId val="506745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Amostra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28172"/>
        <c:crosses val="autoZero"/>
        <c:auto val="1"/>
        <c:lblAlgn val="ctr"/>
        <c:lblOffset val="100"/>
        <c:noMultiLvlLbl val="0"/>
      </c:catAx>
      <c:valAx>
        <c:axId val="756281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Valor ADC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745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</xdr:row>
      <xdr:rowOff>0</xdr:rowOff>
    </xdr:from>
    <xdr:to>
      <xdr:col>23</xdr:col>
      <xdr:colOff>473040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10902240" y="39996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507600</xdr:colOff>
      <xdr:row>15</xdr:row>
      <xdr:rowOff>32400</xdr:rowOff>
    </xdr:to>
    <xdr:graphicFrame>
      <xdr:nvGraphicFramePr>
        <xdr:cNvPr id="1" name="Chart 1"/>
        <xdr:cNvGraphicFramePr/>
      </xdr:nvGraphicFramePr>
      <xdr:xfrm>
        <a:off x="5122440" y="3999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11"/>
    <col collapsed="false" customWidth="true" hidden="false" outlineLevel="0" max="11" min="10" style="0" width="13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11</v>
      </c>
      <c r="B2" s="2" t="n">
        <v>0</v>
      </c>
      <c r="C2" s="3" t="n">
        <f aca="false">100*B2/1023</f>
        <v>0</v>
      </c>
      <c r="D2" s="3" t="n">
        <f aca="false">C2</f>
        <v>0</v>
      </c>
      <c r="E2" s="3" t="n">
        <f aca="false">4+16*C2/100</f>
        <v>4</v>
      </c>
      <c r="F2" s="3" t="n">
        <f aca="false">10*C2/100</f>
        <v>0</v>
      </c>
      <c r="G2" s="2" t="str">
        <f aca="false">IF(OR(C2&lt;0,C2&gt;100),"FALHA",IF(C2&gt;=85,"PERIGO",IF(C2&gt;=70,"ATENÇÃO","NORMAL")))</f>
        <v>NORMAL</v>
      </c>
      <c r="H2" s="2" t="s">
        <v>11</v>
      </c>
      <c r="I2" s="2" t="str">
        <f aca="false">IF(SUBSTITUTE(SUBSTITUTE(G2,"Ç","C"),"Ã","A")=H2,"OK","DIVERGE")</f>
        <v>OK</v>
      </c>
      <c r="J2" s="2" t="n">
        <v>70</v>
      </c>
      <c r="K2" s="2" t="n">
        <v>85</v>
      </c>
    </row>
    <row r="3" customFormat="false" ht="15" hidden="false" customHeight="false" outlineLevel="0" collapsed="false">
      <c r="A3" s="2" t="n">
        <v>12</v>
      </c>
      <c r="B3" s="2" t="n">
        <v>0</v>
      </c>
      <c r="C3" s="3" t="n">
        <f aca="false">100*B3/1023</f>
        <v>0</v>
      </c>
      <c r="D3" s="3" t="n">
        <f aca="false">C3</f>
        <v>0</v>
      </c>
      <c r="E3" s="3" t="n">
        <f aca="false">4+16*C3/100</f>
        <v>4</v>
      </c>
      <c r="F3" s="3" t="n">
        <f aca="false">10*C3/100</f>
        <v>0</v>
      </c>
      <c r="G3" s="2" t="str">
        <f aca="false">IF(OR(C3&lt;0,C3&gt;100),"FALHA",IF(C3&gt;=85,"PERIGO",IF(C3&gt;=70,"ATENÇÃO","NORMAL")))</f>
        <v>NORMAL</v>
      </c>
      <c r="H3" s="2" t="s">
        <v>11</v>
      </c>
      <c r="I3" s="2" t="str">
        <f aca="false">IF(SUBSTITUTE(SUBSTITUTE(G3,"Ç","C"),"Ã","A")=H3,"OK","DIVERGE")</f>
        <v>OK</v>
      </c>
      <c r="J3" s="2" t="n">
        <v>70</v>
      </c>
      <c r="K3" s="2" t="n">
        <v>85</v>
      </c>
    </row>
    <row r="4" customFormat="false" ht="15" hidden="false" customHeight="false" outlineLevel="0" collapsed="false">
      <c r="A4" s="2" t="n">
        <v>13</v>
      </c>
      <c r="B4" s="2" t="n">
        <v>102</v>
      </c>
      <c r="C4" s="3" t="n">
        <f aca="false">100*B4/1023</f>
        <v>9.97067448680352</v>
      </c>
      <c r="D4" s="3" t="n">
        <f aca="false">C4</f>
        <v>9.97067448680352</v>
      </c>
      <c r="E4" s="3" t="n">
        <f aca="false">4+16*C4/100</f>
        <v>5.59530791788856</v>
      </c>
      <c r="F4" s="3" t="n">
        <f aca="false">10*C4/100</f>
        <v>0.997067448680352</v>
      </c>
      <c r="G4" s="2" t="str">
        <f aca="false">IF(OR(C4&lt;0,C4&gt;100),"FALHA",IF(C4&gt;=85,"PERIGO",IF(C4&gt;=70,"ATENÇÃO","NORMAL")))</f>
        <v>NORMAL</v>
      </c>
      <c r="H4" s="2" t="s">
        <v>11</v>
      </c>
      <c r="I4" s="2" t="str">
        <f aca="false">IF(SUBSTITUTE(SUBSTITUTE(G4,"Ç","C"),"Ã","A")=H4,"OK","DIVERGE")</f>
        <v>OK</v>
      </c>
      <c r="J4" s="2" t="n">
        <v>70</v>
      </c>
      <c r="K4" s="2" t="n">
        <v>85</v>
      </c>
    </row>
    <row r="5" customFormat="false" ht="15" hidden="false" customHeight="false" outlineLevel="0" collapsed="false">
      <c r="A5" s="2" t="n">
        <v>14</v>
      </c>
      <c r="B5" s="2" t="n">
        <v>102</v>
      </c>
      <c r="C5" s="3" t="n">
        <f aca="false">100*B5/1023</f>
        <v>9.97067448680352</v>
      </c>
      <c r="D5" s="3" t="n">
        <f aca="false">C5</f>
        <v>9.97067448680352</v>
      </c>
      <c r="E5" s="3" t="n">
        <f aca="false">4+16*C5/100</f>
        <v>5.59530791788856</v>
      </c>
      <c r="F5" s="3" t="n">
        <f aca="false">10*C5/100</f>
        <v>0.997067448680352</v>
      </c>
      <c r="G5" s="2" t="str">
        <f aca="false">IF(OR(C5&lt;0,C5&gt;100),"FALHA",IF(C5&gt;=85,"PERIGO",IF(C5&gt;=70,"ATENÇÃO","NORMAL")))</f>
        <v>NORMAL</v>
      </c>
      <c r="H5" s="2" t="s">
        <v>11</v>
      </c>
      <c r="I5" s="2" t="str">
        <f aca="false">IF(SUBSTITUTE(SUBSTITUTE(G5,"Ç","C"),"Ã","A")=H5,"OK","DIVERGE")</f>
        <v>OK</v>
      </c>
      <c r="J5" s="2" t="n">
        <v>70</v>
      </c>
      <c r="K5" s="2" t="n">
        <v>85</v>
      </c>
    </row>
    <row r="6" customFormat="false" ht="15" hidden="false" customHeight="false" outlineLevel="0" collapsed="false">
      <c r="A6" s="2" t="n">
        <v>15</v>
      </c>
      <c r="B6" s="2" t="n">
        <v>205</v>
      </c>
      <c r="C6" s="3" t="n">
        <f aca="false">100*B6/1023</f>
        <v>20.039100684262</v>
      </c>
      <c r="D6" s="3" t="n">
        <f aca="false">C6</f>
        <v>20.039100684262</v>
      </c>
      <c r="E6" s="3" t="n">
        <f aca="false">4+16*C6/100</f>
        <v>7.20625610948192</v>
      </c>
      <c r="F6" s="3" t="n">
        <f aca="false">10*C6/100</f>
        <v>2.0039100684262</v>
      </c>
      <c r="G6" s="2" t="str">
        <f aca="false">IF(OR(C6&lt;0,C6&gt;100),"FALHA",IF(C6&gt;=85,"PERIGO",IF(C6&gt;=70,"ATENÇÃO","NORMAL")))</f>
        <v>NORMAL</v>
      </c>
      <c r="H6" s="2" t="s">
        <v>11</v>
      </c>
      <c r="I6" s="2" t="str">
        <f aca="false">IF(SUBSTITUTE(SUBSTITUTE(G6,"Ç","C"),"Ã","A")=H6,"OK","DIVERGE")</f>
        <v>OK</v>
      </c>
      <c r="J6" s="2" t="n">
        <v>70</v>
      </c>
      <c r="K6" s="2" t="n">
        <v>85</v>
      </c>
    </row>
    <row r="7" customFormat="false" ht="15" hidden="false" customHeight="false" outlineLevel="0" collapsed="false">
      <c r="A7" s="2" t="n">
        <v>16</v>
      </c>
      <c r="B7" s="2" t="n">
        <v>205</v>
      </c>
      <c r="C7" s="3" t="n">
        <f aca="false">100*B7/1023</f>
        <v>20.039100684262</v>
      </c>
      <c r="D7" s="3" t="n">
        <f aca="false">C7</f>
        <v>20.039100684262</v>
      </c>
      <c r="E7" s="3" t="n">
        <f aca="false">4+16*C7/100</f>
        <v>7.20625610948192</v>
      </c>
      <c r="F7" s="3" t="n">
        <f aca="false">10*C7/100</f>
        <v>2.0039100684262</v>
      </c>
      <c r="G7" s="2" t="str">
        <f aca="false">IF(OR(C7&lt;0,C7&gt;100),"FALHA",IF(C7&gt;=85,"PERIGO",IF(C7&gt;=70,"ATENÇÃO","NORMAL")))</f>
        <v>NORMAL</v>
      </c>
      <c r="H7" s="2" t="s">
        <v>11</v>
      </c>
      <c r="I7" s="2" t="str">
        <f aca="false">IF(SUBSTITUTE(SUBSTITUTE(G7,"Ç","C"),"Ã","A")=H7,"OK","DIVERGE")</f>
        <v>OK</v>
      </c>
      <c r="J7" s="2" t="n">
        <v>70</v>
      </c>
      <c r="K7" s="2" t="n">
        <v>85</v>
      </c>
    </row>
    <row r="8" customFormat="false" ht="15" hidden="false" customHeight="false" outlineLevel="0" collapsed="false">
      <c r="A8" s="2" t="n">
        <v>17</v>
      </c>
      <c r="B8" s="2" t="n">
        <v>307</v>
      </c>
      <c r="C8" s="3" t="n">
        <f aca="false">100*B8/1023</f>
        <v>30.0097751710655</v>
      </c>
      <c r="D8" s="3" t="n">
        <f aca="false">C8</f>
        <v>30.0097751710655</v>
      </c>
      <c r="E8" s="3" t="n">
        <f aca="false">4+16*C8/100</f>
        <v>8.80156402737048</v>
      </c>
      <c r="F8" s="3" t="n">
        <f aca="false">10*C8/100</f>
        <v>3.00097751710655</v>
      </c>
      <c r="G8" s="2" t="str">
        <f aca="false">IF(OR(C8&lt;0,C8&gt;100),"FALHA",IF(C8&gt;=85,"PERIGO",IF(C8&gt;=70,"ATENÇÃO","NORMAL")))</f>
        <v>NORMAL</v>
      </c>
      <c r="H8" s="2" t="s">
        <v>11</v>
      </c>
      <c r="I8" s="2" t="str">
        <f aca="false">IF(SUBSTITUTE(SUBSTITUTE(G8,"Ç","C"),"Ã","A")=H8,"OK","DIVERGE")</f>
        <v>OK</v>
      </c>
      <c r="J8" s="2" t="n">
        <v>70</v>
      </c>
      <c r="K8" s="2" t="n">
        <v>85</v>
      </c>
    </row>
    <row r="9" customFormat="false" ht="15" hidden="false" customHeight="false" outlineLevel="0" collapsed="false">
      <c r="A9" s="2" t="n">
        <v>18</v>
      </c>
      <c r="B9" s="2" t="n">
        <v>307</v>
      </c>
      <c r="C9" s="3" t="n">
        <f aca="false">100*B9/1023</f>
        <v>30.0097751710655</v>
      </c>
      <c r="D9" s="3" t="n">
        <f aca="false">C9</f>
        <v>30.0097751710655</v>
      </c>
      <c r="E9" s="3" t="n">
        <f aca="false">4+16*C9/100</f>
        <v>8.80156402737048</v>
      </c>
      <c r="F9" s="3" t="n">
        <f aca="false">10*C9/100</f>
        <v>3.00097751710655</v>
      </c>
      <c r="G9" s="2" t="str">
        <f aca="false">IF(OR(C9&lt;0,C9&gt;100),"FALHA",IF(C9&gt;=85,"PERIGO",IF(C9&gt;=70,"ATENÇÃO","NORMAL")))</f>
        <v>NORMAL</v>
      </c>
      <c r="H9" s="2" t="s">
        <v>11</v>
      </c>
      <c r="I9" s="2" t="str">
        <f aca="false">IF(SUBSTITUTE(SUBSTITUTE(G9,"Ç","C"),"Ã","A")=H9,"OK","DIVERGE")</f>
        <v>OK</v>
      </c>
      <c r="J9" s="2" t="n">
        <v>70</v>
      </c>
      <c r="K9" s="2" t="n">
        <v>85</v>
      </c>
    </row>
    <row r="10" customFormat="false" ht="15" hidden="false" customHeight="false" outlineLevel="0" collapsed="false">
      <c r="A10" s="2" t="n">
        <v>19</v>
      </c>
      <c r="B10" s="2" t="n">
        <v>410</v>
      </c>
      <c r="C10" s="3" t="n">
        <f aca="false">100*B10/1023</f>
        <v>40.078201368524</v>
      </c>
      <c r="D10" s="3" t="n">
        <f aca="false">C10</f>
        <v>40.078201368524</v>
      </c>
      <c r="E10" s="3" t="n">
        <f aca="false">4+16*C10/100</f>
        <v>10.4125122189638</v>
      </c>
      <c r="F10" s="3" t="n">
        <f aca="false">10*C10/100</f>
        <v>4.0078201368524</v>
      </c>
      <c r="G10" s="2" t="str">
        <f aca="false">IF(OR(C10&lt;0,C10&gt;100),"FALHA",IF(C10&gt;=85,"PERIGO",IF(C10&gt;=70,"ATENÇÃO","NORMAL")))</f>
        <v>NORMAL</v>
      </c>
      <c r="H10" s="2" t="s">
        <v>11</v>
      </c>
      <c r="I10" s="2" t="str">
        <f aca="false">IF(SUBSTITUTE(SUBSTITUTE(G10,"Ç","C"),"Ã","A")=H10,"OK","DIVERGE")</f>
        <v>OK</v>
      </c>
      <c r="J10" s="2" t="n">
        <v>70</v>
      </c>
      <c r="K10" s="2" t="n">
        <v>85</v>
      </c>
    </row>
    <row r="11" customFormat="false" ht="15" hidden="false" customHeight="false" outlineLevel="0" collapsed="false">
      <c r="A11" s="2" t="n">
        <v>20</v>
      </c>
      <c r="B11" s="2" t="n">
        <v>512</v>
      </c>
      <c r="C11" s="3" t="n">
        <f aca="false">100*B11/1023</f>
        <v>50.0488758553275</v>
      </c>
      <c r="D11" s="3" t="n">
        <f aca="false">C11</f>
        <v>50.0488758553275</v>
      </c>
      <c r="E11" s="3" t="n">
        <f aca="false">4+16*C11/100</f>
        <v>12.0078201368524</v>
      </c>
      <c r="F11" s="3" t="n">
        <f aca="false">10*C11/100</f>
        <v>5.00488758553275</v>
      </c>
      <c r="G11" s="2" t="str">
        <f aca="false">IF(OR(C11&lt;0,C11&gt;100),"FALHA",IF(C11&gt;=85,"PERIGO",IF(C11&gt;=70,"ATENÇÃO","NORMAL")))</f>
        <v>NORMAL</v>
      </c>
      <c r="H11" s="2" t="s">
        <v>11</v>
      </c>
      <c r="I11" s="2" t="str">
        <f aca="false">IF(SUBSTITUTE(SUBSTITUTE(G11,"Ç","C"),"Ã","A")=H11,"OK","DIVERGE")</f>
        <v>OK</v>
      </c>
      <c r="J11" s="2" t="n">
        <v>70</v>
      </c>
      <c r="K11" s="2" t="n">
        <v>85</v>
      </c>
    </row>
    <row r="12" customFormat="false" ht="15" hidden="false" customHeight="false" outlineLevel="0" collapsed="false">
      <c r="A12" s="2" t="n">
        <v>21</v>
      </c>
      <c r="B12" s="2" t="n">
        <v>512</v>
      </c>
      <c r="C12" s="3" t="n">
        <f aca="false">100*B12/1023</f>
        <v>50.0488758553275</v>
      </c>
      <c r="D12" s="3" t="n">
        <f aca="false">C12</f>
        <v>50.0488758553275</v>
      </c>
      <c r="E12" s="3" t="n">
        <f aca="false">4+16*C12/100</f>
        <v>12.0078201368524</v>
      </c>
      <c r="F12" s="3" t="n">
        <f aca="false">10*C12/100</f>
        <v>5.00488758553275</v>
      </c>
      <c r="G12" s="2" t="str">
        <f aca="false">IF(OR(C12&lt;0,C12&gt;100),"FALHA",IF(C12&gt;=85,"PERIGO",IF(C12&gt;=70,"ATENÇÃO","NORMAL")))</f>
        <v>NORMAL</v>
      </c>
      <c r="H12" s="2" t="s">
        <v>11</v>
      </c>
      <c r="I12" s="2" t="str">
        <f aca="false">IF(SUBSTITUTE(SUBSTITUTE(G12,"Ç","C"),"Ã","A")=H12,"OK","DIVERGE")</f>
        <v>OK</v>
      </c>
      <c r="J12" s="2" t="n">
        <v>70</v>
      </c>
      <c r="K12" s="2" t="n">
        <v>85</v>
      </c>
    </row>
    <row r="13" customFormat="false" ht="15" hidden="false" customHeight="false" outlineLevel="0" collapsed="false">
      <c r="A13" s="2" t="n">
        <v>22</v>
      </c>
      <c r="B13" s="2" t="n">
        <v>512</v>
      </c>
      <c r="C13" s="3" t="n">
        <f aca="false">100*B13/1023</f>
        <v>50.0488758553275</v>
      </c>
      <c r="D13" s="3" t="n">
        <f aca="false">C13</f>
        <v>50.0488758553275</v>
      </c>
      <c r="E13" s="3" t="n">
        <f aca="false">4+16*C13/100</f>
        <v>12.0078201368524</v>
      </c>
      <c r="F13" s="3" t="n">
        <f aca="false">10*C13/100</f>
        <v>5.00488758553275</v>
      </c>
      <c r="G13" s="2" t="str">
        <f aca="false">IF(OR(C13&lt;0,C13&gt;100),"FALHA",IF(C13&gt;=85,"PERIGO",IF(C13&gt;=70,"ATENÇÃO","NORMAL")))</f>
        <v>NORMAL</v>
      </c>
      <c r="H13" s="2" t="s">
        <v>11</v>
      </c>
      <c r="I13" s="2" t="str">
        <f aca="false">IF(SUBSTITUTE(SUBSTITUTE(G13,"Ç","C"),"Ã","A")=H13,"OK","DIVERGE")</f>
        <v>OK</v>
      </c>
      <c r="J13" s="2" t="n">
        <v>70</v>
      </c>
      <c r="K13" s="2" t="n">
        <v>85</v>
      </c>
    </row>
    <row r="14" customFormat="false" ht="15" hidden="false" customHeight="false" outlineLevel="0" collapsed="false">
      <c r="A14" s="2" t="n">
        <v>23</v>
      </c>
      <c r="B14" s="2" t="n">
        <v>614</v>
      </c>
      <c r="C14" s="3" t="n">
        <f aca="false">100*B14/1023</f>
        <v>60.019550342131</v>
      </c>
      <c r="D14" s="3" t="n">
        <f aca="false">C14</f>
        <v>60.019550342131</v>
      </c>
      <c r="E14" s="3" t="n">
        <f aca="false">4+16*C14/100</f>
        <v>13.603128054741</v>
      </c>
      <c r="F14" s="3" t="n">
        <f aca="false">10*C14/100</f>
        <v>6.0019550342131</v>
      </c>
      <c r="G14" s="2" t="str">
        <f aca="false">IF(OR(C14&lt;0,C14&gt;100),"FALHA",IF(C14&gt;=85,"PERIGO",IF(C14&gt;=70,"ATENÇÃO","NORMAL")))</f>
        <v>NORMAL</v>
      </c>
      <c r="H14" s="2" t="s">
        <v>11</v>
      </c>
      <c r="I14" s="2" t="str">
        <f aca="false">IF(SUBSTITUTE(SUBSTITUTE(G14,"Ç","C"),"Ã","A")=H14,"OK","DIVERGE")</f>
        <v>OK</v>
      </c>
      <c r="J14" s="2" t="n">
        <v>70</v>
      </c>
      <c r="K14" s="2" t="n">
        <v>85</v>
      </c>
    </row>
    <row r="15" customFormat="false" ht="15" hidden="false" customHeight="false" outlineLevel="0" collapsed="false">
      <c r="A15" s="2" t="n">
        <v>24</v>
      </c>
      <c r="B15" s="2" t="n">
        <v>716</v>
      </c>
      <c r="C15" s="3" t="n">
        <f aca="false">100*B15/1023</f>
        <v>69.9902248289345</v>
      </c>
      <c r="D15" s="3" t="n">
        <f aca="false">C15</f>
        <v>69.9902248289345</v>
      </c>
      <c r="E15" s="3" t="n">
        <f aca="false">4+16*C15/100</f>
        <v>15.1984359726295</v>
      </c>
      <c r="F15" s="3" t="n">
        <f aca="false">10*C15/100</f>
        <v>6.99902248289345</v>
      </c>
      <c r="G15" s="2" t="str">
        <f aca="false">IF(OR(C15&lt;0,C15&gt;100),"FALHA",IF(C15&gt;=85,"PERIGO",IF(C15&gt;=70,"ATENÇÃO","NORMAL")))</f>
        <v>NORMAL</v>
      </c>
      <c r="H15" s="2" t="s">
        <v>11</v>
      </c>
      <c r="I15" s="2" t="str">
        <f aca="false">IF(SUBSTITUTE(SUBSTITUTE(G15,"Ç","C"),"Ã","A")=H15,"OK","DIVERGE")</f>
        <v>OK</v>
      </c>
      <c r="J15" s="2" t="n">
        <v>70</v>
      </c>
      <c r="K15" s="2" t="n">
        <v>85</v>
      </c>
    </row>
    <row r="16" customFormat="false" ht="15" hidden="false" customHeight="false" outlineLevel="0" collapsed="false">
      <c r="A16" s="2" t="n">
        <v>25</v>
      </c>
      <c r="B16" s="2" t="n">
        <v>716</v>
      </c>
      <c r="C16" s="3" t="n">
        <f aca="false">100*B16/1023</f>
        <v>69.9902248289345</v>
      </c>
      <c r="D16" s="3" t="n">
        <f aca="false">C16</f>
        <v>69.9902248289345</v>
      </c>
      <c r="E16" s="3" t="n">
        <f aca="false">4+16*C16/100</f>
        <v>15.1984359726295</v>
      </c>
      <c r="F16" s="3" t="n">
        <f aca="false">10*C16/100</f>
        <v>6.99902248289345</v>
      </c>
      <c r="G16" s="2" t="str">
        <f aca="false">IF(OR(C16&lt;0,C16&gt;100),"FALHA",IF(C16&gt;=85,"PERIGO",IF(C16&gt;=70,"ATENÇÃO","NORMAL")))</f>
        <v>NORMAL</v>
      </c>
      <c r="H16" s="2" t="s">
        <v>11</v>
      </c>
      <c r="I16" s="2" t="str">
        <f aca="false">IF(SUBSTITUTE(SUBSTITUTE(G16,"Ç","C"),"Ã","A")=H16,"OK","DIVERGE")</f>
        <v>OK</v>
      </c>
      <c r="J16" s="2" t="n">
        <v>70</v>
      </c>
      <c r="K16" s="2" t="n">
        <v>85</v>
      </c>
    </row>
    <row r="17" customFormat="false" ht="15" hidden="false" customHeight="false" outlineLevel="0" collapsed="false">
      <c r="A17" s="2" t="n">
        <v>26</v>
      </c>
      <c r="B17" s="2" t="n">
        <v>768</v>
      </c>
      <c r="C17" s="3" t="n">
        <f aca="false">100*B17/1023</f>
        <v>75.0733137829912</v>
      </c>
      <c r="D17" s="3" t="n">
        <f aca="false">C17</f>
        <v>75.0733137829912</v>
      </c>
      <c r="E17" s="3" t="n">
        <f aca="false">4+16*C17/100</f>
        <v>16.0117302052786</v>
      </c>
      <c r="F17" s="3" t="n">
        <f aca="false">10*C17/100</f>
        <v>7.50733137829912</v>
      </c>
      <c r="G17" s="2" t="str">
        <f aca="false">IF(OR(C17&lt;0,C17&gt;100),"FALHA",IF(C17&gt;=85,"PERIGO",IF(C17&gt;=70,"ATENÇÃO","NORMAL")))</f>
        <v>ATENÇÃO</v>
      </c>
      <c r="H17" s="2" t="s">
        <v>12</v>
      </c>
      <c r="I17" s="2" t="str">
        <f aca="false">IF(SUBSTITUTE(SUBSTITUTE(G17,"Ç","C"),"Ã","A")=H17,"OK","DIVERGE")</f>
        <v>OK</v>
      </c>
      <c r="J17" s="2" t="n">
        <v>70</v>
      </c>
      <c r="K17" s="2" t="n">
        <v>85</v>
      </c>
    </row>
    <row r="18" customFormat="false" ht="15" hidden="false" customHeight="false" outlineLevel="0" collapsed="false">
      <c r="A18" s="2" t="n">
        <v>27</v>
      </c>
      <c r="B18" s="2" t="n">
        <v>768</v>
      </c>
      <c r="C18" s="3" t="n">
        <f aca="false">100*B18/1023</f>
        <v>75.0733137829912</v>
      </c>
      <c r="D18" s="3" t="n">
        <f aca="false">C18</f>
        <v>75.0733137829912</v>
      </c>
      <c r="E18" s="3" t="n">
        <f aca="false">4+16*C18/100</f>
        <v>16.0117302052786</v>
      </c>
      <c r="F18" s="3" t="n">
        <f aca="false">10*C18/100</f>
        <v>7.50733137829912</v>
      </c>
      <c r="G18" s="2" t="str">
        <f aca="false">IF(OR(C18&lt;0,C18&gt;100),"FALHA",IF(C18&gt;=85,"PERIGO",IF(C18&gt;=70,"ATENÇÃO","NORMAL")))</f>
        <v>ATENÇÃO</v>
      </c>
      <c r="H18" s="2" t="s">
        <v>12</v>
      </c>
      <c r="I18" s="2" t="str">
        <f aca="false">IF(SUBSTITUTE(SUBSTITUTE(G18,"Ç","C"),"Ã","A")=H18,"OK","DIVERGE")</f>
        <v>OK</v>
      </c>
      <c r="J18" s="2" t="n">
        <v>70</v>
      </c>
      <c r="K18" s="2" t="n">
        <v>85</v>
      </c>
    </row>
    <row r="19" customFormat="false" ht="15" hidden="false" customHeight="false" outlineLevel="0" collapsed="false">
      <c r="A19" s="2" t="n">
        <v>28</v>
      </c>
      <c r="B19" s="2" t="n">
        <v>818</v>
      </c>
      <c r="C19" s="3" t="n">
        <f aca="false">100*B19/1023</f>
        <v>79.960899315738</v>
      </c>
      <c r="D19" s="3" t="n">
        <f aca="false">C19</f>
        <v>79.960899315738</v>
      </c>
      <c r="E19" s="3" t="n">
        <f aca="false">4+16*C19/100</f>
        <v>16.7937438905181</v>
      </c>
      <c r="F19" s="3" t="n">
        <f aca="false">10*C19/100</f>
        <v>7.9960899315738</v>
      </c>
      <c r="G19" s="2" t="str">
        <f aca="false">IF(OR(C19&lt;0,C19&gt;100),"FALHA",IF(C19&gt;=85,"PERIGO",IF(C19&gt;=70,"ATENÇÃO","NORMAL")))</f>
        <v>ATENÇÃO</v>
      </c>
      <c r="H19" s="2" t="s">
        <v>12</v>
      </c>
      <c r="I19" s="2" t="str">
        <f aca="false">IF(SUBSTITUTE(SUBSTITUTE(G19,"Ç","C"),"Ã","A")=H19,"OK","DIVERGE")</f>
        <v>OK</v>
      </c>
      <c r="J19" s="2" t="n">
        <v>70</v>
      </c>
      <c r="K19" s="2" t="n">
        <v>85</v>
      </c>
    </row>
    <row r="20" customFormat="false" ht="15" hidden="false" customHeight="false" outlineLevel="0" collapsed="false">
      <c r="A20" s="2" t="n">
        <v>29</v>
      </c>
      <c r="B20" s="2" t="n">
        <v>818</v>
      </c>
      <c r="C20" s="3" t="n">
        <f aca="false">100*B20/1023</f>
        <v>79.960899315738</v>
      </c>
      <c r="D20" s="3" t="n">
        <f aca="false">C20</f>
        <v>79.960899315738</v>
      </c>
      <c r="E20" s="3" t="n">
        <f aca="false">4+16*C20/100</f>
        <v>16.7937438905181</v>
      </c>
      <c r="F20" s="3" t="n">
        <f aca="false">10*C20/100</f>
        <v>7.9960899315738</v>
      </c>
      <c r="G20" s="2" t="str">
        <f aca="false">IF(OR(C20&lt;0,C20&gt;100),"FALHA",IF(C20&gt;=85,"PERIGO",IF(C20&gt;=70,"ATENÇÃO","NORMAL")))</f>
        <v>ATENÇÃO</v>
      </c>
      <c r="H20" s="2" t="s">
        <v>12</v>
      </c>
      <c r="I20" s="2" t="str">
        <f aca="false">IF(SUBSTITUTE(SUBSTITUTE(G20,"Ç","C"),"Ã","A")=H20,"OK","DIVERGE")</f>
        <v>OK</v>
      </c>
      <c r="J20" s="2" t="n">
        <v>70</v>
      </c>
      <c r="K20" s="2" t="n">
        <v>85</v>
      </c>
    </row>
    <row r="21" customFormat="false" ht="15" hidden="false" customHeight="false" outlineLevel="0" collapsed="false">
      <c r="A21" s="2" t="n">
        <v>30</v>
      </c>
      <c r="B21" s="2" t="n">
        <v>870</v>
      </c>
      <c r="C21" s="3" t="n">
        <f aca="false">100*B21/1023</f>
        <v>85.0439882697947</v>
      </c>
      <c r="D21" s="3" t="n">
        <f aca="false">C21</f>
        <v>85.0439882697947</v>
      </c>
      <c r="E21" s="3" t="n">
        <f aca="false">4+16*C21/100</f>
        <v>17.6070381231672</v>
      </c>
      <c r="F21" s="3" t="n">
        <f aca="false">10*C21/100</f>
        <v>8.50439882697947</v>
      </c>
      <c r="G21" s="2" t="str">
        <f aca="false">IF(OR(C21&lt;0,C21&gt;100),"FALHA",IF(C21&gt;=85,"PERIGO",IF(C21&gt;=70,"ATENÇÃO","NORMAL")))</f>
        <v>PERIGO</v>
      </c>
      <c r="H21" s="2" t="s">
        <v>13</v>
      </c>
      <c r="I21" s="2" t="str">
        <f aca="false">IF(SUBSTITUTE(SUBSTITUTE(G21,"Ç","C"),"Ã","A")=H21,"OK","DIVERGE")</f>
        <v>OK</v>
      </c>
      <c r="J21" s="2" t="n">
        <v>70</v>
      </c>
      <c r="K21" s="2" t="n">
        <v>85</v>
      </c>
    </row>
    <row r="22" customFormat="false" ht="15" hidden="false" customHeight="false" outlineLevel="0" collapsed="false">
      <c r="A22" s="2" t="n">
        <v>31</v>
      </c>
      <c r="B22" s="2" t="n">
        <v>870</v>
      </c>
      <c r="C22" s="3" t="n">
        <f aca="false">100*B22/1023</f>
        <v>85.0439882697947</v>
      </c>
      <c r="D22" s="3" t="n">
        <f aca="false">C22</f>
        <v>85.0439882697947</v>
      </c>
      <c r="E22" s="3" t="n">
        <f aca="false">4+16*C22/100</f>
        <v>17.6070381231672</v>
      </c>
      <c r="F22" s="3" t="n">
        <f aca="false">10*C22/100</f>
        <v>8.50439882697947</v>
      </c>
      <c r="G22" s="2" t="str">
        <f aca="false">IF(OR(C22&lt;0,C22&gt;100),"FALHA",IF(C22&gt;=85,"PERIGO",IF(C22&gt;=70,"ATENÇÃO","NORMAL")))</f>
        <v>PERIGO</v>
      </c>
      <c r="H22" s="2" t="s">
        <v>13</v>
      </c>
      <c r="I22" s="2" t="str">
        <f aca="false">IF(SUBSTITUTE(SUBSTITUTE(G22,"Ç","C"),"Ã","A")=H22,"OK","DIVERGE")</f>
        <v>OK</v>
      </c>
      <c r="J22" s="2" t="n">
        <v>70</v>
      </c>
      <c r="K22" s="2" t="n">
        <v>85</v>
      </c>
    </row>
    <row r="23" customFormat="false" ht="15" hidden="false" customHeight="false" outlineLevel="0" collapsed="false">
      <c r="A23" s="2" t="n">
        <v>32</v>
      </c>
      <c r="B23" s="2" t="n">
        <v>921</v>
      </c>
      <c r="C23" s="3" t="n">
        <f aca="false">100*B23/1023</f>
        <v>90.0293255131965</v>
      </c>
      <c r="D23" s="3" t="n">
        <f aca="false">C23</f>
        <v>90.0293255131965</v>
      </c>
      <c r="E23" s="3" t="n">
        <f aca="false">4+16*C23/100</f>
        <v>18.4046920821114</v>
      </c>
      <c r="F23" s="3" t="n">
        <f aca="false">10*C23/100</f>
        <v>9.00293255131965</v>
      </c>
      <c r="G23" s="2" t="str">
        <f aca="false">IF(OR(C23&lt;0,C23&gt;100),"FALHA",IF(C23&gt;=85,"PERIGO",IF(C23&gt;=70,"ATENÇÃO","NORMAL")))</f>
        <v>PERIGO</v>
      </c>
      <c r="H23" s="2" t="s">
        <v>13</v>
      </c>
      <c r="I23" s="2" t="str">
        <f aca="false">IF(SUBSTITUTE(SUBSTITUTE(G23,"Ç","C"),"Ã","A")=H23,"OK","DIVERGE")</f>
        <v>OK</v>
      </c>
      <c r="J23" s="2" t="n">
        <v>70</v>
      </c>
      <c r="K23" s="2" t="n">
        <v>85</v>
      </c>
    </row>
    <row r="24" customFormat="false" ht="15" hidden="false" customHeight="false" outlineLevel="0" collapsed="false">
      <c r="A24" s="2" t="n">
        <v>33</v>
      </c>
      <c r="B24" s="2" t="n">
        <v>921</v>
      </c>
      <c r="C24" s="3" t="n">
        <f aca="false">100*B24/1023</f>
        <v>90.0293255131965</v>
      </c>
      <c r="D24" s="3" t="n">
        <f aca="false">C24</f>
        <v>90.0293255131965</v>
      </c>
      <c r="E24" s="3" t="n">
        <f aca="false">4+16*C24/100</f>
        <v>18.4046920821114</v>
      </c>
      <c r="F24" s="3" t="n">
        <f aca="false">10*C24/100</f>
        <v>9.00293255131965</v>
      </c>
      <c r="G24" s="2" t="str">
        <f aca="false">IF(OR(C24&lt;0,C24&gt;100),"FALHA",IF(C24&gt;=85,"PERIGO",IF(C24&gt;=70,"ATENÇÃO","NORMAL")))</f>
        <v>PERIGO</v>
      </c>
      <c r="H24" s="2" t="s">
        <v>13</v>
      </c>
      <c r="I24" s="2" t="str">
        <f aca="false">IF(SUBSTITUTE(SUBSTITUTE(G24,"Ç","C"),"Ã","A")=H24,"OK","DIVERGE")</f>
        <v>OK</v>
      </c>
      <c r="J24" s="2" t="n">
        <v>70</v>
      </c>
      <c r="K24" s="2" t="n">
        <v>85</v>
      </c>
    </row>
    <row r="25" customFormat="false" ht="15" hidden="false" customHeight="false" outlineLevel="0" collapsed="false">
      <c r="A25" s="2" t="n">
        <v>34</v>
      </c>
      <c r="B25" s="2" t="n">
        <v>1023</v>
      </c>
      <c r="C25" s="3" t="n">
        <f aca="false">100*B25/1023</f>
        <v>100</v>
      </c>
      <c r="D25" s="3" t="n">
        <f aca="false">C25</f>
        <v>100</v>
      </c>
      <c r="E25" s="3" t="n">
        <f aca="false">4+16*C25/100</f>
        <v>20</v>
      </c>
      <c r="F25" s="3" t="n">
        <f aca="false">10*C25/100</f>
        <v>10</v>
      </c>
      <c r="G25" s="2" t="str">
        <f aca="false">IF(OR(C25&lt;0,C25&gt;100),"FALHA",IF(C25&gt;=85,"PERIGO",IF(C25&gt;=70,"ATENÇÃO","NORMAL")))</f>
        <v>PERIGO</v>
      </c>
      <c r="H25" s="2" t="s">
        <v>13</v>
      </c>
      <c r="I25" s="2" t="str">
        <f aca="false">IF(SUBSTITUTE(SUBSTITUTE(G25,"Ç","C"),"Ã","A")=H25,"OK","DIVERGE")</f>
        <v>OK</v>
      </c>
      <c r="J25" s="2" t="n">
        <v>70</v>
      </c>
      <c r="K25" s="2" t="n">
        <v>85</v>
      </c>
    </row>
    <row r="26" customFormat="false" ht="15" hidden="false" customHeight="false" outlineLevel="0" collapsed="false">
      <c r="A26" s="2" t="n">
        <v>35</v>
      </c>
      <c r="B26" s="2" t="n">
        <v>1023</v>
      </c>
      <c r="C26" s="3" t="n">
        <f aca="false">100*B26/1023</f>
        <v>100</v>
      </c>
      <c r="D26" s="3" t="n">
        <f aca="false">C26</f>
        <v>100</v>
      </c>
      <c r="E26" s="3" t="n">
        <f aca="false">4+16*C26/100</f>
        <v>20</v>
      </c>
      <c r="F26" s="3" t="n">
        <f aca="false">10*C26/100</f>
        <v>10</v>
      </c>
      <c r="G26" s="2" t="str">
        <f aca="false">IF(OR(C26&lt;0,C26&gt;100),"FALHA",IF(C26&gt;=85,"PERIGO",IF(C26&gt;=70,"ATENÇÃO","NORMAL")))</f>
        <v>PERIGO</v>
      </c>
      <c r="H26" s="2" t="s">
        <v>13</v>
      </c>
      <c r="I26" s="2" t="str">
        <f aca="false">IF(SUBSTITUTE(SUBSTITUTE(G26,"Ç","C"),"Ã","A")=H26,"OK","DIVERGE")</f>
        <v>OK</v>
      </c>
      <c r="J26" s="2" t="n">
        <v>70</v>
      </c>
      <c r="K26" s="2" t="n">
        <v>85</v>
      </c>
    </row>
    <row r="27" customFormat="false" ht="15" hidden="false" customHeight="false" outlineLevel="0" collapsed="false">
      <c r="A27" s="2" t="n">
        <v>36</v>
      </c>
      <c r="B27" s="2" t="n">
        <v>870</v>
      </c>
      <c r="C27" s="3" t="n">
        <f aca="false">100*B27/1023</f>
        <v>85.0439882697947</v>
      </c>
      <c r="D27" s="3" t="n">
        <f aca="false">C27</f>
        <v>85.0439882697947</v>
      </c>
      <c r="E27" s="3" t="n">
        <f aca="false">4+16*C27/100</f>
        <v>17.6070381231672</v>
      </c>
      <c r="F27" s="3" t="n">
        <f aca="false">10*C27/100</f>
        <v>8.50439882697947</v>
      </c>
      <c r="G27" s="2" t="str">
        <f aca="false">IF(OR(C27&lt;0,C27&gt;100),"FALHA",IF(C27&gt;=85,"PERIGO",IF(C27&gt;=70,"ATENÇÃO","NORMAL")))</f>
        <v>PERIGO</v>
      </c>
      <c r="H27" s="2" t="s">
        <v>13</v>
      </c>
      <c r="I27" s="2" t="str">
        <f aca="false">IF(SUBSTITUTE(SUBSTITUTE(G27,"Ç","C"),"Ã","A")=H27,"OK","DIVERGE")</f>
        <v>OK</v>
      </c>
      <c r="J27" s="2" t="n">
        <v>70</v>
      </c>
      <c r="K27" s="2" t="n">
        <v>85</v>
      </c>
    </row>
    <row r="28" customFormat="false" ht="15" hidden="false" customHeight="false" outlineLevel="0" collapsed="false">
      <c r="A28" s="2" t="n">
        <v>37</v>
      </c>
      <c r="B28" s="2" t="n">
        <v>870</v>
      </c>
      <c r="C28" s="3" t="n">
        <f aca="false">100*B28/1023</f>
        <v>85.0439882697947</v>
      </c>
      <c r="D28" s="3" t="n">
        <f aca="false">C28</f>
        <v>85.0439882697947</v>
      </c>
      <c r="E28" s="3" t="n">
        <f aca="false">4+16*C28/100</f>
        <v>17.6070381231672</v>
      </c>
      <c r="F28" s="3" t="n">
        <f aca="false">10*C28/100</f>
        <v>8.50439882697947</v>
      </c>
      <c r="G28" s="2" t="str">
        <f aca="false">IF(OR(C28&lt;0,C28&gt;100),"FALHA",IF(C28&gt;=85,"PERIGO",IF(C28&gt;=70,"ATENÇÃO","NORMAL")))</f>
        <v>PERIGO</v>
      </c>
      <c r="H28" s="2" t="s">
        <v>13</v>
      </c>
      <c r="I28" s="2" t="str">
        <f aca="false">IF(SUBSTITUTE(SUBSTITUTE(G28,"Ç","C"),"Ã","A")=H28,"OK","DIVERGE")</f>
        <v>OK</v>
      </c>
      <c r="J28" s="2" t="n">
        <v>70</v>
      </c>
      <c r="K28" s="2" t="n">
        <v>85</v>
      </c>
    </row>
    <row r="29" customFormat="false" ht="15" hidden="false" customHeight="false" outlineLevel="0" collapsed="false">
      <c r="A29" s="2" t="n">
        <v>38</v>
      </c>
      <c r="B29" s="2" t="n">
        <v>716</v>
      </c>
      <c r="C29" s="3" t="n">
        <f aca="false">100*B29/1023</f>
        <v>69.9902248289345</v>
      </c>
      <c r="D29" s="3" t="n">
        <f aca="false">C29</f>
        <v>69.9902248289345</v>
      </c>
      <c r="E29" s="3" t="n">
        <f aca="false">4+16*C29/100</f>
        <v>15.1984359726295</v>
      </c>
      <c r="F29" s="3" t="n">
        <f aca="false">10*C29/100</f>
        <v>6.99902248289345</v>
      </c>
      <c r="G29" s="2" t="str">
        <f aca="false">IF(OR(C29&lt;0,C29&gt;100),"FALHA",IF(C29&gt;=85,"PERIGO",IF(C29&gt;=70,"ATENÇÃO","NORMAL")))</f>
        <v>NORMAL</v>
      </c>
      <c r="H29" s="2" t="s">
        <v>11</v>
      </c>
      <c r="I29" s="2" t="str">
        <f aca="false">IF(SUBSTITUTE(SUBSTITUTE(G29,"Ç","C"),"Ã","A")=H29,"OK","DIVERGE")</f>
        <v>OK</v>
      </c>
      <c r="J29" s="2" t="n">
        <v>70</v>
      </c>
      <c r="K29" s="2" t="n">
        <v>85</v>
      </c>
    </row>
    <row r="30" customFormat="false" ht="15" hidden="false" customHeight="false" outlineLevel="0" collapsed="false">
      <c r="A30" s="2" t="n">
        <v>39</v>
      </c>
      <c r="B30" s="2" t="n">
        <v>716</v>
      </c>
      <c r="C30" s="3" t="n">
        <f aca="false">100*B30/1023</f>
        <v>69.9902248289345</v>
      </c>
      <c r="D30" s="3" t="n">
        <f aca="false">C30</f>
        <v>69.9902248289345</v>
      </c>
      <c r="E30" s="3" t="n">
        <f aca="false">4+16*C30/100</f>
        <v>15.1984359726295</v>
      </c>
      <c r="F30" s="3" t="n">
        <f aca="false">10*C30/100</f>
        <v>6.99902248289345</v>
      </c>
      <c r="G30" s="2" t="str">
        <f aca="false">IF(OR(C30&lt;0,C30&gt;100),"FALHA",IF(C30&gt;=85,"PERIGO",IF(C30&gt;=70,"ATENÇÃO","NORMAL")))</f>
        <v>NORMAL</v>
      </c>
      <c r="H30" s="2" t="s">
        <v>11</v>
      </c>
      <c r="I30" s="2" t="str">
        <f aca="false">IF(SUBSTITUTE(SUBSTITUTE(G30,"Ç","C"),"Ã","A")=H30,"OK","DIVERGE")</f>
        <v>OK</v>
      </c>
      <c r="J30" s="2" t="n">
        <v>70</v>
      </c>
      <c r="K30" s="2" t="n">
        <v>85</v>
      </c>
    </row>
    <row r="31" customFormat="false" ht="15" hidden="false" customHeight="false" outlineLevel="0" collapsed="false">
      <c r="A31" s="2" t="n">
        <v>40</v>
      </c>
      <c r="B31" s="2" t="n">
        <v>512</v>
      </c>
      <c r="C31" s="3" t="n">
        <f aca="false">100*B31/1023</f>
        <v>50.0488758553275</v>
      </c>
      <c r="D31" s="3" t="n">
        <f aca="false">C31</f>
        <v>50.0488758553275</v>
      </c>
      <c r="E31" s="3" t="n">
        <f aca="false">4+16*C31/100</f>
        <v>12.0078201368524</v>
      </c>
      <c r="F31" s="3" t="n">
        <f aca="false">10*C31/100</f>
        <v>5.00488758553275</v>
      </c>
      <c r="G31" s="2" t="str">
        <f aca="false">IF(OR(C31&lt;0,C31&gt;100),"FALHA",IF(C31&gt;=85,"PERIGO",IF(C31&gt;=70,"ATENÇÃO","NORMAL")))</f>
        <v>NORMAL</v>
      </c>
      <c r="H31" s="2" t="s">
        <v>11</v>
      </c>
      <c r="I31" s="2" t="str">
        <f aca="false">IF(SUBSTITUTE(SUBSTITUTE(G31,"Ç","C"),"Ã","A")=H31,"OK","DIVERGE")</f>
        <v>OK</v>
      </c>
      <c r="J31" s="2" t="n">
        <v>70</v>
      </c>
      <c r="K31" s="2" t="n">
        <v>85</v>
      </c>
    </row>
    <row r="32" customFormat="false" ht="15" hidden="false" customHeight="false" outlineLevel="0" collapsed="false">
      <c r="A32" s="2" t="n">
        <v>41</v>
      </c>
      <c r="B32" s="2" t="n">
        <v>512</v>
      </c>
      <c r="C32" s="3" t="n">
        <f aca="false">100*B32/1023</f>
        <v>50.0488758553275</v>
      </c>
      <c r="D32" s="3" t="n">
        <f aca="false">C32</f>
        <v>50.0488758553275</v>
      </c>
      <c r="E32" s="3" t="n">
        <f aca="false">4+16*C32/100</f>
        <v>12.0078201368524</v>
      </c>
      <c r="F32" s="3" t="n">
        <f aca="false">10*C32/100</f>
        <v>5.00488758553275</v>
      </c>
      <c r="G32" s="2" t="str">
        <f aca="false">IF(OR(C32&lt;0,C32&gt;100),"FALHA",IF(C32&gt;=85,"PERIGO",IF(C32&gt;=70,"ATENÇÃO","NORMAL")))</f>
        <v>NORMAL</v>
      </c>
      <c r="H32" s="2" t="s">
        <v>11</v>
      </c>
      <c r="I32" s="2" t="str">
        <f aca="false">IF(SUBSTITUTE(SUBSTITUTE(G32,"Ç","C"),"Ã","A")=H32,"OK","DIVERGE")</f>
        <v>OK</v>
      </c>
      <c r="J32" s="2" t="n">
        <v>70</v>
      </c>
      <c r="K32" s="2" t="n">
        <v>85</v>
      </c>
    </row>
    <row r="34" customFormat="false" ht="15" hidden="false" customHeight="false" outlineLevel="0" collapsed="false">
      <c r="A34" s="4" t="s">
        <v>14</v>
      </c>
    </row>
    <row r="35" customFormat="false" ht="15" hidden="false" customHeight="false" outlineLevel="0" collapsed="false">
      <c r="A35" s="4" t="s">
        <v>15</v>
      </c>
    </row>
    <row r="36" customFormat="false" ht="15" hidden="false" customHeight="false" outlineLevel="0" collapsed="false">
      <c r="A36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7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34"/>
  </cols>
  <sheetData>
    <row r="1" customFormat="false" ht="31.5" hidden="false" customHeight="true" outlineLevel="0" collapsed="false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customFormat="false" ht="15" hidden="false" customHeight="false" outlineLevel="0" collapsed="false">
      <c r="A2" s="2" t="s">
        <v>23</v>
      </c>
      <c r="B2" s="2" t="n">
        <v>-1</v>
      </c>
      <c r="C2" s="2" t="s">
        <v>24</v>
      </c>
      <c r="D2" s="2" t="str">
        <f aca="false">IF(OR(B2&lt;0,B2&gt;100),"FALHA",IF(B2&gt;=85,"PERIGO",IF(B2&gt;=70,"ATENÇÃO","NORMAL")))</f>
        <v>FALHA</v>
      </c>
      <c r="E2" s="2" t="str">
        <f aca="false">IF(D2=C2,"PASSA","FALHA")</f>
        <v>PASSA</v>
      </c>
      <c r="F2" s="2" t="s">
        <v>25</v>
      </c>
    </row>
    <row r="3" customFormat="false" ht="15" hidden="false" customHeight="false" outlineLevel="0" collapsed="false">
      <c r="A3" s="2" t="s">
        <v>26</v>
      </c>
      <c r="B3" s="2" t="n">
        <v>0</v>
      </c>
      <c r="C3" s="2" t="s">
        <v>11</v>
      </c>
      <c r="D3" s="2" t="str">
        <f aca="false">IF(OR(B3&lt;0,B3&gt;100),"FALHA",IF(B3&gt;=85,"PERIGO",IF(B3&gt;=70,"ATENÇÃO","NORMAL")))</f>
        <v>NORMAL</v>
      </c>
      <c r="E3" s="2" t="str">
        <f aca="false">IF(D3=C3,"PASSA","FALHA")</f>
        <v>PASSA</v>
      </c>
      <c r="F3" s="2" t="s">
        <v>27</v>
      </c>
    </row>
    <row r="4" customFormat="false" ht="15" hidden="false" customHeight="false" outlineLevel="0" collapsed="false">
      <c r="A4" s="2" t="s">
        <v>28</v>
      </c>
      <c r="B4" s="2" t="n">
        <v>69.99</v>
      </c>
      <c r="C4" s="2" t="s">
        <v>11</v>
      </c>
      <c r="D4" s="2" t="str">
        <f aca="false">IF(OR(B4&lt;0,B4&gt;100),"FALHA",IF(B4&gt;=85,"PERIGO",IF(B4&gt;=70,"ATENÇÃO","NORMAL")))</f>
        <v>NORMAL</v>
      </c>
      <c r="E4" s="2" t="str">
        <f aca="false">IF(D4=C4,"PASSA","FALHA")</f>
        <v>PASSA</v>
      </c>
      <c r="F4" s="2" t="s">
        <v>29</v>
      </c>
    </row>
    <row r="5" customFormat="false" ht="15" hidden="false" customHeight="false" outlineLevel="0" collapsed="false">
      <c r="A5" s="2" t="s">
        <v>30</v>
      </c>
      <c r="B5" s="2" t="n">
        <v>70</v>
      </c>
      <c r="C5" s="2" t="s">
        <v>31</v>
      </c>
      <c r="D5" s="2" t="str">
        <f aca="false">IF(OR(B5&lt;0,B5&gt;100),"FALHA",IF(B5&gt;=85,"PERIGO",IF(B5&gt;=70,"ATENÇÃO","NORMAL")))</f>
        <v>ATENÇÃO</v>
      </c>
      <c r="E5" s="2" t="str">
        <f aca="false">IF(D5=C5,"PASSA","FALHA")</f>
        <v>PASSA</v>
      </c>
      <c r="F5" s="2" t="s">
        <v>32</v>
      </c>
    </row>
    <row r="6" customFormat="false" ht="15" hidden="false" customHeight="false" outlineLevel="0" collapsed="false">
      <c r="A6" s="2" t="s">
        <v>33</v>
      </c>
      <c r="B6" s="2" t="n">
        <v>84.99</v>
      </c>
      <c r="C6" s="2" t="s">
        <v>31</v>
      </c>
      <c r="D6" s="2" t="str">
        <f aca="false">IF(OR(B6&lt;0,B6&gt;100),"FALHA",IF(B6&gt;=85,"PERIGO",IF(B6&gt;=70,"ATENÇÃO","NORMAL")))</f>
        <v>ATENÇÃO</v>
      </c>
      <c r="E6" s="2" t="str">
        <f aca="false">IF(D6=C6,"PASSA","FALHA")</f>
        <v>PASSA</v>
      </c>
      <c r="F6" s="2" t="s">
        <v>34</v>
      </c>
    </row>
    <row r="7" customFormat="false" ht="15" hidden="false" customHeight="false" outlineLevel="0" collapsed="false">
      <c r="A7" s="2" t="s">
        <v>35</v>
      </c>
      <c r="B7" s="2" t="n">
        <v>85</v>
      </c>
      <c r="C7" s="2" t="s">
        <v>13</v>
      </c>
      <c r="D7" s="2" t="str">
        <f aca="false">IF(OR(B7&lt;0,B7&gt;100),"FALHA",IF(B7&gt;=85,"PERIGO",IF(B7&gt;=70,"ATENÇÃO","NORMAL")))</f>
        <v>PERIGO</v>
      </c>
      <c r="E7" s="2" t="str">
        <f aca="false">IF(D7=C7,"PASSA","FALHA")</f>
        <v>PASSA</v>
      </c>
      <c r="F7" s="2" t="s">
        <v>36</v>
      </c>
    </row>
    <row r="8" customFormat="false" ht="15" hidden="false" customHeight="false" outlineLevel="0" collapsed="false">
      <c r="A8" s="2" t="s">
        <v>37</v>
      </c>
      <c r="B8" s="2" t="n">
        <v>100</v>
      </c>
      <c r="C8" s="2" t="s">
        <v>13</v>
      </c>
      <c r="D8" s="2" t="str">
        <f aca="false">IF(OR(B8&lt;0,B8&gt;100),"FALHA",IF(B8&gt;=85,"PERIGO",IF(B8&gt;=70,"ATENÇÃO","NORMAL")))</f>
        <v>PERIGO</v>
      </c>
      <c r="E8" s="2" t="str">
        <f aca="false">IF(D8=C8,"PASSA","FALHA")</f>
        <v>PASSA</v>
      </c>
      <c r="F8" s="2" t="s">
        <v>38</v>
      </c>
    </row>
    <row r="9" customFormat="false" ht="15" hidden="false" customHeight="false" outlineLevel="0" collapsed="false">
      <c r="A9" s="2" t="s">
        <v>39</v>
      </c>
      <c r="B9" s="2" t="n">
        <v>100.01</v>
      </c>
      <c r="C9" s="2" t="s">
        <v>24</v>
      </c>
      <c r="D9" s="2" t="str">
        <f aca="false">IF(OR(B9&lt;0,B9&gt;100),"FALHA",IF(B9&gt;=85,"PERIGO",IF(B9&gt;=70,"ATENÇÃO","NORMAL")))</f>
        <v>FALHA</v>
      </c>
      <c r="E9" s="2" t="str">
        <f aca="false">IF(D9=C9,"PASSA","FALHA")</f>
        <v>PASSA</v>
      </c>
      <c r="F9" s="2" t="s">
        <v>40</v>
      </c>
    </row>
    <row r="11" customFormat="false" ht="15" hidden="false" customHeight="false" outlineLevel="0" collapsed="false">
      <c r="A11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1" t="s">
        <v>42</v>
      </c>
      <c r="B1" s="1" t="s">
        <v>2</v>
      </c>
      <c r="C1" s="1" t="s">
        <v>43</v>
      </c>
      <c r="D1" s="1" t="s">
        <v>44</v>
      </c>
      <c r="E1" s="1" t="s">
        <v>45</v>
      </c>
      <c r="F1" s="1" t="s">
        <v>21</v>
      </c>
    </row>
    <row r="2" customFormat="false" ht="15" hidden="false" customHeight="false" outlineLevel="0" collapsed="false">
      <c r="A2" s="2" t="n">
        <v>0</v>
      </c>
      <c r="B2" s="2" t="n">
        <f aca="false">100*A2/100</f>
        <v>0</v>
      </c>
      <c r="C2" s="2" t="n">
        <f aca="false">4+16*A2/100</f>
        <v>4</v>
      </c>
      <c r="D2" s="2" t="n">
        <f aca="false">10*A2/100</f>
        <v>0</v>
      </c>
      <c r="E2" s="2" t="n">
        <f aca="false">(C2-4)*100/16</f>
        <v>0</v>
      </c>
      <c r="F2" s="2" t="str">
        <f aca="false">IF(ABS(E2-A2)&lt;0.000001,"PASSA","FALHA")</f>
        <v>PASSA</v>
      </c>
    </row>
    <row r="3" customFormat="false" ht="15" hidden="false" customHeight="false" outlineLevel="0" collapsed="false">
      <c r="A3" s="2" t="n">
        <v>25</v>
      </c>
      <c r="B3" s="2" t="n">
        <f aca="false">100*A3/100</f>
        <v>25</v>
      </c>
      <c r="C3" s="2" t="n">
        <f aca="false">4+16*A3/100</f>
        <v>8</v>
      </c>
      <c r="D3" s="2" t="n">
        <f aca="false">10*A3/100</f>
        <v>2.5</v>
      </c>
      <c r="E3" s="2" t="n">
        <f aca="false">(C3-4)*100/16</f>
        <v>25</v>
      </c>
      <c r="F3" s="2" t="str">
        <f aca="false">IF(ABS(E3-A3)&lt;0.000001,"PASSA","FALHA")</f>
        <v>PASSA</v>
      </c>
    </row>
    <row r="4" customFormat="false" ht="15" hidden="false" customHeight="false" outlineLevel="0" collapsed="false">
      <c r="A4" s="2" t="n">
        <v>50</v>
      </c>
      <c r="B4" s="2" t="n">
        <f aca="false">100*A4/100</f>
        <v>50</v>
      </c>
      <c r="C4" s="2" t="n">
        <f aca="false">4+16*A4/100</f>
        <v>12</v>
      </c>
      <c r="D4" s="2" t="n">
        <f aca="false">10*A4/100</f>
        <v>5</v>
      </c>
      <c r="E4" s="2" t="n">
        <f aca="false">(C4-4)*100/16</f>
        <v>50</v>
      </c>
      <c r="F4" s="2" t="str">
        <f aca="false">IF(ABS(E4-A4)&lt;0.000001,"PASSA","FALHA")</f>
        <v>PASSA</v>
      </c>
    </row>
    <row r="5" customFormat="false" ht="15" hidden="false" customHeight="false" outlineLevel="0" collapsed="false">
      <c r="A5" s="2" t="n">
        <v>75</v>
      </c>
      <c r="B5" s="2" t="n">
        <f aca="false">100*A5/100</f>
        <v>75</v>
      </c>
      <c r="C5" s="2" t="n">
        <f aca="false">4+16*A5/100</f>
        <v>16</v>
      </c>
      <c r="D5" s="2" t="n">
        <f aca="false">10*A5/100</f>
        <v>7.5</v>
      </c>
      <c r="E5" s="2" t="n">
        <f aca="false">(C5-4)*100/16</f>
        <v>75</v>
      </c>
      <c r="F5" s="2" t="str">
        <f aca="false">IF(ABS(E5-A5)&lt;0.000001,"PASSA","FALHA")</f>
        <v>PASSA</v>
      </c>
    </row>
    <row r="6" customFormat="false" ht="15" hidden="false" customHeight="false" outlineLevel="0" collapsed="false">
      <c r="A6" s="2" t="n">
        <v>100</v>
      </c>
      <c r="B6" s="2" t="n">
        <f aca="false">100*A6/100</f>
        <v>100</v>
      </c>
      <c r="C6" s="2" t="n">
        <f aca="false">4+16*A6/100</f>
        <v>20</v>
      </c>
      <c r="D6" s="2" t="n">
        <f aca="false">10*A6/100</f>
        <v>10</v>
      </c>
      <c r="E6" s="2" t="n">
        <f aca="false">(C6-4)*100/16</f>
        <v>100</v>
      </c>
      <c r="F6" s="2" t="str">
        <f aca="false">IF(ABS(E6-A6)&lt;0.000001,"PASSA","FALHA")</f>
        <v>PASSA</v>
      </c>
    </row>
    <row r="8" customFormat="false" ht="15" hidden="false" customHeight="false" outlineLevel="0" collapsed="false">
      <c r="A8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31.5" hidden="false" customHeight="true" outlineLevel="0" collapsed="false">
      <c r="A1" s="1" t="s">
        <v>47</v>
      </c>
      <c r="B1" s="1" t="s">
        <v>48</v>
      </c>
      <c r="C1" s="1" t="s">
        <v>49</v>
      </c>
      <c r="D1" s="1" t="s">
        <v>50</v>
      </c>
      <c r="E1" s="1" t="s">
        <v>21</v>
      </c>
    </row>
    <row r="2" customFormat="false" ht="15" hidden="false" customHeight="false" outlineLevel="0" collapsed="false">
      <c r="A2" s="2" t="n">
        <v>3.2</v>
      </c>
      <c r="B2" s="5" t="n">
        <f aca="false">(A2-4)/16*100</f>
        <v>-5</v>
      </c>
      <c r="C2" s="2" t="str">
        <f aca="false">IF(OR(A2&lt;4,A2&gt;20),"FALHA",IF((A2-4)/16*100&gt;=85,"PERIGO",IF((A2-4)/16*100&gt;=70,"ATENÇÃO","NORMAL")))</f>
        <v>FALHA</v>
      </c>
      <c r="D2" s="2" t="s">
        <v>24</v>
      </c>
      <c r="E2" s="2" t="str">
        <f aca="false">IF(C2=D2,"PASSA","FALHA")</f>
        <v>PASSA</v>
      </c>
    </row>
    <row r="3" customFormat="false" ht="15" hidden="false" customHeight="false" outlineLevel="0" collapsed="false">
      <c r="A3" s="2" t="n">
        <v>4</v>
      </c>
      <c r="B3" s="5" t="n">
        <f aca="false">(A3-4)/16*100</f>
        <v>0</v>
      </c>
      <c r="C3" s="2" t="str">
        <f aca="false">IF(OR(A3&lt;4,A3&gt;20),"FALHA",IF((A3-4)/16*100&gt;=85,"PERIGO",IF((A3-4)/16*100&gt;=70,"ATENÇÃO","NORMAL")))</f>
        <v>NORMAL</v>
      </c>
      <c r="D3" s="2" t="s">
        <v>11</v>
      </c>
      <c r="E3" s="2" t="str">
        <f aca="false">IF(C3=D3,"PASSA","FALHA")</f>
        <v>PASSA</v>
      </c>
    </row>
    <row r="4" customFormat="false" ht="15" hidden="false" customHeight="false" outlineLevel="0" collapsed="false">
      <c r="A4" s="2" t="n">
        <v>12</v>
      </c>
      <c r="B4" s="5" t="n">
        <f aca="false">(A4-4)/16*100</f>
        <v>50</v>
      </c>
      <c r="C4" s="2" t="str">
        <f aca="false">IF(OR(A4&lt;4,A4&gt;20),"FALHA",IF((A4-4)/16*100&gt;=85,"PERIGO",IF((A4-4)/16*100&gt;=70,"ATENÇÃO","NORMAL")))</f>
        <v>NORMAL</v>
      </c>
      <c r="D4" s="2" t="s">
        <v>11</v>
      </c>
      <c r="E4" s="2" t="str">
        <f aca="false">IF(C4=D4,"PASSA","FALHA")</f>
        <v>PASSA</v>
      </c>
    </row>
    <row r="5" customFormat="false" ht="15" hidden="false" customHeight="false" outlineLevel="0" collapsed="false">
      <c r="A5" s="2" t="n">
        <v>15.2</v>
      </c>
      <c r="B5" s="5" t="n">
        <f aca="false">(A5-4)/16*100</f>
        <v>70</v>
      </c>
      <c r="C5" s="2" t="str">
        <f aca="false">IF(OR(A5&lt;4,A5&gt;20),"FALHA",IF((A5-4)/16*100&gt;=85,"PERIGO",IF((A5-4)/16*100&gt;=70,"ATENÇÃO","NORMAL")))</f>
        <v>ATENÇÃO</v>
      </c>
      <c r="D5" s="2" t="s">
        <v>31</v>
      </c>
      <c r="E5" s="2" t="str">
        <f aca="false">IF(C5=D5,"PASSA","FALHA")</f>
        <v>PASSA</v>
      </c>
    </row>
    <row r="6" customFormat="false" ht="15" hidden="false" customHeight="false" outlineLevel="0" collapsed="false">
      <c r="A6" s="2" t="n">
        <v>17.6</v>
      </c>
      <c r="B6" s="5" t="n">
        <f aca="false">(A6-4)/16*100</f>
        <v>85</v>
      </c>
      <c r="C6" s="2" t="str">
        <f aca="false">IF(OR(A6&lt;4,A6&gt;20),"FALHA",IF((A6-4)/16*100&gt;=85,"PERIGO",IF((A6-4)/16*100&gt;=70,"ATENÇÃO","NORMAL")))</f>
        <v>PERIGO</v>
      </c>
      <c r="D6" s="2" t="s">
        <v>13</v>
      </c>
      <c r="E6" s="2" t="str">
        <f aca="false">IF(C6=D6,"PASSA","FALHA")</f>
        <v>PASSA</v>
      </c>
    </row>
    <row r="7" customFormat="false" ht="15" hidden="false" customHeight="false" outlineLevel="0" collapsed="false">
      <c r="A7" s="2" t="n">
        <v>20</v>
      </c>
      <c r="B7" s="5" t="n">
        <f aca="false">(A7-4)/16*100</f>
        <v>100</v>
      </c>
      <c r="C7" s="2" t="str">
        <f aca="false">IF(OR(A7&lt;4,A7&gt;20),"FALHA",IF((A7-4)/16*100&gt;=85,"PERIGO",IF((A7-4)/16*100&gt;=70,"ATENÇÃO","NORMAL")))</f>
        <v>PERIGO</v>
      </c>
      <c r="D7" s="2" t="s">
        <v>13</v>
      </c>
      <c r="E7" s="2" t="str">
        <f aca="false">IF(C7=D7,"PASSA","FALHA")</f>
        <v>PASSA</v>
      </c>
    </row>
    <row r="8" customFormat="false" ht="15" hidden="false" customHeight="false" outlineLevel="0" collapsed="false">
      <c r="A8" s="2" t="n">
        <v>20.8</v>
      </c>
      <c r="B8" s="5" t="n">
        <f aca="false">(A8-4)/16*100</f>
        <v>105</v>
      </c>
      <c r="C8" s="2" t="str">
        <f aca="false">IF(OR(A8&lt;4,A8&gt;20),"FALHA",IF((A8-4)/16*100&gt;=85,"PERIGO",IF((A8-4)/16*100&gt;=70,"ATENÇÃO","NORMAL")))</f>
        <v>FALHA</v>
      </c>
      <c r="D8" s="2" t="s">
        <v>24</v>
      </c>
      <c r="E8" s="2" t="str">
        <f aca="false">IF(C8=D8,"PASSA","FALHA")</f>
        <v>PASSA</v>
      </c>
    </row>
    <row r="10" customFormat="false" ht="15" hidden="false" customHeight="false" outlineLevel="0" collapsed="false">
      <c r="A10" s="4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0"/>
  </cols>
  <sheetData>
    <row r="1" customFormat="false" ht="31.5" hidden="false" customHeight="true" outlineLevel="0" collapsed="false">
      <c r="A1" s="1" t="s">
        <v>0</v>
      </c>
      <c r="B1" s="1" t="s">
        <v>52</v>
      </c>
      <c r="C1" s="1" t="s">
        <v>53</v>
      </c>
      <c r="D1" s="1" t="s">
        <v>54</v>
      </c>
      <c r="E1" s="1" t="s">
        <v>8</v>
      </c>
    </row>
    <row r="2" customFormat="false" ht="15" hidden="false" customHeight="false" outlineLevel="0" collapsed="false">
      <c r="A2" s="2" t="n">
        <v>1</v>
      </c>
      <c r="B2" s="2" t="n">
        <v>500</v>
      </c>
      <c r="C2" s="2" t="n">
        <v>500</v>
      </c>
      <c r="D2" s="6" t="n">
        <f aca="false">AVERAGE(B2:B2)</f>
        <v>500</v>
      </c>
      <c r="E2" s="2" t="str">
        <f aca="false">IF(ABS(C2-D2)&lt;0.01,"OK","DIVERGE")</f>
        <v>OK</v>
      </c>
    </row>
    <row r="3" customFormat="false" ht="15" hidden="false" customHeight="false" outlineLevel="0" collapsed="false">
      <c r="A3" s="2" t="n">
        <v>2</v>
      </c>
      <c r="B3" s="2" t="n">
        <v>504</v>
      </c>
      <c r="C3" s="2" t="n">
        <v>502</v>
      </c>
      <c r="D3" s="6" t="n">
        <f aca="false">AVERAGE(B2:B3)</f>
        <v>502</v>
      </c>
      <c r="E3" s="2" t="str">
        <f aca="false">IF(ABS(C3-D3)&lt;0.01,"OK","DIVERGE")</f>
        <v>OK</v>
      </c>
    </row>
    <row r="4" customFormat="false" ht="15" hidden="false" customHeight="false" outlineLevel="0" collapsed="false">
      <c r="A4" s="2" t="n">
        <v>3</v>
      </c>
      <c r="B4" s="2" t="n">
        <v>498</v>
      </c>
      <c r="C4" s="2" t="n">
        <v>500.67</v>
      </c>
      <c r="D4" s="6" t="n">
        <f aca="false">AVERAGE(B2:B4)</f>
        <v>500.666666666667</v>
      </c>
      <c r="E4" s="2" t="str">
        <f aca="false">IF(ABS(C4-D4)&lt;0.01,"OK","DIVERGE")</f>
        <v>OK</v>
      </c>
    </row>
    <row r="5" customFormat="false" ht="15" hidden="false" customHeight="false" outlineLevel="0" collapsed="false">
      <c r="A5" s="2" t="n">
        <v>4</v>
      </c>
      <c r="B5" s="2" t="n">
        <v>502</v>
      </c>
      <c r="C5" s="2" t="n">
        <v>501</v>
      </c>
      <c r="D5" s="6" t="n">
        <f aca="false">AVERAGE(B2:B5)</f>
        <v>501</v>
      </c>
      <c r="E5" s="2" t="str">
        <f aca="false">IF(ABS(C5-D5)&lt;0.01,"OK","DIVERGE")</f>
        <v>OK</v>
      </c>
    </row>
    <row r="6" customFormat="false" ht="15" hidden="false" customHeight="false" outlineLevel="0" collapsed="false">
      <c r="A6" s="2" t="n">
        <v>5</v>
      </c>
      <c r="B6" s="2" t="n">
        <v>500</v>
      </c>
      <c r="C6" s="2" t="n">
        <v>500.8</v>
      </c>
      <c r="D6" s="6" t="n">
        <f aca="false">AVERAGE(B2:B6)</f>
        <v>500.8</v>
      </c>
      <c r="E6" s="2" t="str">
        <f aca="false">IF(ABS(C6-D6)&lt;0.01,"OK","DIVERGE")</f>
        <v>OK</v>
      </c>
    </row>
    <row r="7" customFormat="false" ht="15" hidden="false" customHeight="false" outlineLevel="0" collapsed="false">
      <c r="A7" s="2" t="n">
        <v>6</v>
      </c>
      <c r="B7" s="2" t="n">
        <v>1000</v>
      </c>
      <c r="C7" s="2" t="n">
        <v>600.8</v>
      </c>
      <c r="D7" s="6" t="n">
        <f aca="false">AVERAGE(B3:B7)</f>
        <v>600.8</v>
      </c>
      <c r="E7" s="2" t="str">
        <f aca="false">IF(ABS(C7-D7)&lt;0.01,"OK","DIVERGE")</f>
        <v>OK</v>
      </c>
    </row>
    <row r="8" customFormat="false" ht="15" hidden="false" customHeight="false" outlineLevel="0" collapsed="false">
      <c r="A8" s="2" t="n">
        <v>7</v>
      </c>
      <c r="B8" s="2" t="n">
        <v>501</v>
      </c>
      <c r="C8" s="2" t="n">
        <v>600.2</v>
      </c>
      <c r="D8" s="6" t="n">
        <f aca="false">AVERAGE(B4:B8)</f>
        <v>600.2</v>
      </c>
      <c r="E8" s="2" t="str">
        <f aca="false">IF(ABS(C8-D8)&lt;0.01,"OK","DIVERGE")</f>
        <v>OK</v>
      </c>
    </row>
    <row r="9" customFormat="false" ht="15" hidden="false" customHeight="false" outlineLevel="0" collapsed="false">
      <c r="A9" s="2" t="n">
        <v>8</v>
      </c>
      <c r="B9" s="2" t="n">
        <v>499</v>
      </c>
      <c r="C9" s="2" t="n">
        <v>600.4</v>
      </c>
      <c r="D9" s="6" t="n">
        <f aca="false">AVERAGE(B5:B9)</f>
        <v>600.4</v>
      </c>
      <c r="E9" s="2" t="str">
        <f aca="false">IF(ABS(C9-D9)&lt;0.01,"OK","DIVERGE")</f>
        <v>OK</v>
      </c>
    </row>
    <row r="10" customFormat="false" ht="15" hidden="false" customHeight="false" outlineLevel="0" collapsed="false">
      <c r="A10" s="2" t="n">
        <v>9</v>
      </c>
      <c r="B10" s="2" t="n">
        <v>503</v>
      </c>
      <c r="C10" s="2" t="n">
        <v>600.6</v>
      </c>
      <c r="D10" s="6" t="n">
        <f aca="false">AVERAGE(B6:B10)</f>
        <v>600.6</v>
      </c>
      <c r="E10" s="2" t="str">
        <f aca="false">IF(ABS(C10-D10)&lt;0.01,"OK","DIVERGE")</f>
        <v>OK</v>
      </c>
    </row>
    <row r="11" customFormat="false" ht="15" hidden="false" customHeight="false" outlineLevel="0" collapsed="false">
      <c r="A11" s="2" t="n">
        <v>10</v>
      </c>
      <c r="B11" s="2" t="n">
        <v>500</v>
      </c>
      <c r="C11" s="2" t="n">
        <v>600.6</v>
      </c>
      <c r="D11" s="6" t="n">
        <f aca="false">AVERAGE(B7:B11)</f>
        <v>600.6</v>
      </c>
      <c r="E11" s="2" t="str">
        <f aca="false">IF(ABS(C11-D11)&lt;0.01,"OK","DIVERGE")</f>
        <v>OK</v>
      </c>
    </row>
    <row r="12" customFormat="false" ht="15" hidden="false" customHeight="false" outlineLevel="0" collapsed="false">
      <c r="A12" s="2" t="n">
        <v>11</v>
      </c>
      <c r="B12" s="2" t="n">
        <v>502</v>
      </c>
      <c r="C12" s="2" t="n">
        <v>501</v>
      </c>
      <c r="D12" s="6" t="n">
        <f aca="false">AVERAGE(B8:B12)</f>
        <v>501</v>
      </c>
      <c r="E12" s="2" t="str">
        <f aca="false">IF(ABS(C12-D12)&lt;0.01,"OK","DIVERGE")</f>
        <v>OK</v>
      </c>
    </row>
    <row r="14" customFormat="false" ht="15" hidden="false" customHeight="false" outlineLevel="0" collapsed="false">
      <c r="A14" s="4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2026-10-16T03:34:39Z</dcterms:created>
  <dc:creator>openpyxl</dc:creator>
  <dc:description/>
  <dc:language>en-US</dc:language>
  <cp:lastModifiedBy/>
  <dcterms:modified xsi:type="dcterms:W3CDTF">2026-10-16T00:34:41Z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